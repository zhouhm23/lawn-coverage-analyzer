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ython\割草机导航\相机处理\"/>
    </mc:Choice>
  </mc:AlternateContent>
  <xr:revisionPtr revIDLastSave="0" documentId="13_ncr:1_{67A9916A-2CAE-4C09-AD62-B8C761C6B05D}" xr6:coauthVersionLast="47" xr6:coauthVersionMax="47" xr10:uidLastSave="{00000000-0000-0000-0000-000000000000}"/>
  <bookViews>
    <workbookView xWindow="-110" yWindow="-110" windowWidth="25820" windowHeight="15500" xr2:uid="{BB1149EE-BC81-4179-8825-480AF37C55DD}"/>
  </bookViews>
  <sheets>
    <sheet name="覆盖率实验" sheetId="1" r:id="rId1"/>
    <sheet name="旧版的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4" i="2"/>
  <c r="D4" i="2"/>
  <c r="C7" i="2"/>
  <c r="E7" i="2"/>
  <c r="C33" i="1"/>
  <c r="C32" i="1"/>
  <c r="C18" i="1"/>
  <c r="C31" i="1"/>
  <c r="C30" i="1"/>
  <c r="C29" i="1"/>
  <c r="E28" i="1"/>
  <c r="C27" i="1"/>
  <c r="C13" i="1"/>
  <c r="C8" i="1"/>
  <c r="C3" i="1"/>
  <c r="C28" i="1" s="1"/>
  <c r="D33" i="1"/>
  <c r="E33" i="1"/>
  <c r="D32" i="1"/>
  <c r="E32" i="1"/>
  <c r="D23" i="1"/>
  <c r="D28" i="1" s="1"/>
  <c r="E31" i="1"/>
  <c r="D31" i="1"/>
  <c r="E27" i="1"/>
  <c r="E29" i="1"/>
  <c r="D29" i="1"/>
  <c r="D27" i="1"/>
  <c r="D30" i="1"/>
  <c r="E30" i="1"/>
  <c r="A7" i="1"/>
  <c r="A12" i="1" s="1"/>
  <c r="A17" i="1" s="1"/>
  <c r="A22" i="1" s="1"/>
</calcChain>
</file>

<file path=xl/sharedStrings.xml><?xml version="1.0" encoding="utf-8"?>
<sst xmlns="http://schemas.openxmlformats.org/spreadsheetml/2006/main" count="92" uniqueCount="36">
  <si>
    <t>实验序号</t>
  </si>
  <si>
    <t>指标</t>
  </si>
  <si>
    <t>A (LiDAR+原始)</t>
  </si>
  <si>
    <t>B (视觉+原始)</t>
  </si>
  <si>
    <t>区域覆盖率</t>
  </si>
  <si>
    <t>碰撞次数</t>
  </si>
  <si>
    <t>重复覆盖率</t>
  </si>
  <si>
    <t>轨迹长度m</t>
  </si>
  <si>
    <t>运行时长s</t>
  </si>
  <si>
    <t>run_id</t>
  </si>
  <si>
    <t>timestamp</t>
  </si>
  <si>
    <t>sensor</t>
  </si>
  <si>
    <t>algo</t>
  </si>
  <si>
    <t>coverage_pct</t>
  </si>
  <si>
    <t>covered_cells</t>
  </si>
  <si>
    <t>total_cells</t>
  </si>
  <si>
    <t>elapsed_sec</t>
  </si>
  <si>
    <t>mem_avg_pct</t>
  </si>
  <si>
    <t>camera</t>
  </si>
  <si>
    <t>ours</t>
  </si>
  <si>
    <t>baseline</t>
  </si>
  <si>
    <t>run_id</t>
    <phoneticPr fontId="18" type="noConversion"/>
  </si>
  <si>
    <t>cpu_avg_pct</t>
    <phoneticPr fontId="18" type="noConversion"/>
  </si>
  <si>
    <t>mean+std</t>
    <phoneticPr fontId="18" type="noConversion"/>
  </si>
  <si>
    <t>lidar</t>
  </si>
  <si>
    <t>运行时长s</t>
    <phoneticPr fontId="19" type="noConversion"/>
  </si>
  <si>
    <t>轨迹长度m</t>
    <phoneticPr fontId="19" type="noConversion"/>
  </si>
  <si>
    <t>重复覆盖率</t>
    <phoneticPr fontId="19" type="noConversion"/>
  </si>
  <si>
    <t>碰撞次数</t>
    <phoneticPr fontId="19" type="noConversion"/>
  </si>
  <si>
    <t>C (视觉+改进)</t>
    <phoneticPr fontId="19" type="noConversion"/>
  </si>
  <si>
    <t>A (LiDAR+原始)</t>
    <phoneticPr fontId="19" type="noConversion"/>
  </si>
  <si>
    <t>实验序号</t>
    <phoneticPr fontId="19" type="noConversion"/>
  </si>
  <si>
    <t>旧版的</t>
    <phoneticPr fontId="19" type="noConversion"/>
  </si>
  <si>
    <t>D(融合+原始)</t>
    <phoneticPr fontId="18" type="noConversion"/>
  </si>
  <si>
    <t>C (视觉+改进)</t>
    <phoneticPr fontId="18" type="noConversion"/>
  </si>
  <si>
    <t>成功率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</si>
</sst>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_);[Red]\(0.0\)"/>
    <numFmt numFmtId="178" formatCode="0_);[Red]\(0\)"/>
    <numFmt numFmtId="179" formatCode="0.0%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10" xfId="0" applyBorder="1">
      <alignment vertical="center"/>
    </xf>
    <xf numFmtId="177" fontId="0" fillId="0" borderId="10" xfId="0" applyNumberFormat="1" applyBorder="1">
      <alignment vertical="center"/>
    </xf>
    <xf numFmtId="176" fontId="0" fillId="0" borderId="10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10" fontId="0" fillId="0" borderId="13" xfId="0" applyNumberFormat="1" applyBorder="1">
      <alignment vertical="center"/>
    </xf>
    <xf numFmtId="10" fontId="0" fillId="0" borderId="16" xfId="0" applyNumberFormat="1" applyBorder="1">
      <alignment vertical="center"/>
    </xf>
    <xf numFmtId="0" fontId="0" fillId="0" borderId="13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179" fontId="0" fillId="0" borderId="0" xfId="0" applyNumberFormat="1">
      <alignment vertical="center"/>
    </xf>
    <xf numFmtId="2" fontId="0" fillId="0" borderId="0" xfId="0" applyNumberFormat="1">
      <alignment vertical="center"/>
    </xf>
    <xf numFmtId="179" fontId="0" fillId="0" borderId="15" xfId="0" applyNumberFormat="1" applyBorder="1">
      <alignment vertical="center"/>
    </xf>
    <xf numFmtId="179" fontId="0" fillId="0" borderId="12" xfId="0" applyNumberFormat="1" applyBorder="1">
      <alignment vertical="center"/>
    </xf>
    <xf numFmtId="178" fontId="0" fillId="0" borderId="13" xfId="0" applyNumberFormat="1" applyBorder="1">
      <alignment vertical="center"/>
    </xf>
    <xf numFmtId="179" fontId="0" fillId="0" borderId="13" xfId="0" applyNumberFormat="1" applyBorder="1">
      <alignment vertical="center"/>
    </xf>
    <xf numFmtId="176" fontId="0" fillId="0" borderId="13" xfId="0" applyNumberFormat="1" applyBorder="1">
      <alignment vertical="center"/>
    </xf>
    <xf numFmtId="0" fontId="0" fillId="0" borderId="17" xfId="0" applyBorder="1">
      <alignment vertical="center"/>
    </xf>
    <xf numFmtId="177" fontId="0" fillId="0" borderId="19" xfId="0" applyNumberFormat="1" applyBorder="1">
      <alignment vertical="center"/>
    </xf>
    <xf numFmtId="0" fontId="0" fillId="0" borderId="20" xfId="0" applyBorder="1">
      <alignment vertical="center"/>
    </xf>
    <xf numFmtId="179" fontId="0" fillId="0" borderId="15" xfId="42" applyNumberFormat="1" applyFont="1" applyBorder="1">
      <alignment vertical="center"/>
    </xf>
    <xf numFmtId="177" fontId="0" fillId="0" borderId="18" xfId="0" applyNumberFormat="1" applyBorder="1">
      <alignment vertical="center"/>
    </xf>
    <xf numFmtId="179" fontId="0" fillId="0" borderId="10" xfId="0" applyNumberFormat="1" applyBorder="1">
      <alignment vertical="center"/>
    </xf>
    <xf numFmtId="0" fontId="0" fillId="0" borderId="10" xfId="0" applyBorder="1" applyAlignment="1"/>
    <xf numFmtId="10" fontId="0" fillId="0" borderId="10" xfId="0" applyNumberFormat="1" applyBorder="1" applyAlignment="1"/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Border="1">
      <alignment vertical="center"/>
    </xf>
    <xf numFmtId="179" fontId="0" fillId="0" borderId="0" xfId="0" applyNumberFormat="1" applyBorder="1">
      <alignment vertical="center"/>
    </xf>
    <xf numFmtId="177" fontId="0" fillId="0" borderId="0" xfId="0" applyNumberFormat="1" applyBorder="1">
      <alignment vertical="center"/>
    </xf>
    <xf numFmtId="178" fontId="0" fillId="0" borderId="0" xfId="0" applyNumberFormat="1" applyBorder="1">
      <alignment vertical="center"/>
    </xf>
    <xf numFmtId="176" fontId="0" fillId="0" borderId="0" xfId="0" applyNumberFormat="1" applyBorder="1">
      <alignment vertical="center"/>
    </xf>
    <xf numFmtId="10" fontId="0" fillId="0" borderId="0" xfId="0" applyNumberFormat="1" applyBorder="1">
      <alignment vertical="center"/>
    </xf>
    <xf numFmtId="177" fontId="0" fillId="0" borderId="16" xfId="0" applyNumberFormat="1" applyBorder="1">
      <alignment vertical="center"/>
    </xf>
    <xf numFmtId="0" fontId="0" fillId="0" borderId="10" xfId="0" applyFill="1" applyBorder="1">
      <alignment vertical="center"/>
    </xf>
    <xf numFmtId="9" fontId="0" fillId="0" borderId="10" xfId="0" applyNumberFormat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百分比" xfId="42" builtinId="5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82C4-08CF-414A-9FF9-5A529D6339BA}">
  <dimension ref="A1:Q34"/>
  <sheetViews>
    <sheetView tabSelected="1" workbookViewId="0">
      <selection activeCell="G17" sqref="G17"/>
    </sheetView>
  </sheetViews>
  <sheetFormatPr defaultRowHeight="14" x14ac:dyDescent="0.3"/>
  <cols>
    <col min="2" max="2" width="12.25" bestFit="1" customWidth="1"/>
    <col min="3" max="3" width="13.75" customWidth="1"/>
    <col min="4" max="4" width="12.4140625" customWidth="1"/>
    <col min="5" max="6" width="12.58203125" customWidth="1"/>
    <col min="7" max="7" width="6" bestFit="1" customWidth="1"/>
    <col min="8" max="8" width="14.4140625" style="2" bestFit="1" customWidth="1"/>
    <col min="9" max="9" width="6.9140625" bestFit="1" customWidth="1"/>
    <col min="10" max="10" width="7.58203125" bestFit="1" customWidth="1"/>
    <col min="11" max="11" width="6" bestFit="1" customWidth="1"/>
    <col min="12" max="12" width="11.75" style="2" bestFit="1" customWidth="1"/>
    <col min="13" max="13" width="11.6640625" bestFit="1" customWidth="1"/>
    <col min="14" max="14" width="8.83203125" bestFit="1" customWidth="1"/>
    <col min="15" max="15" width="10.58203125" style="3" bestFit="1" customWidth="1"/>
    <col min="16" max="16" width="11" style="15" bestFit="1" customWidth="1"/>
    <col min="17" max="17" width="12.25" style="15" bestFit="1" customWidth="1"/>
  </cols>
  <sheetData>
    <row r="1" spans="1:17" x14ac:dyDescent="0.3">
      <c r="A1" s="4" t="s">
        <v>0</v>
      </c>
      <c r="B1" s="7" t="s">
        <v>1</v>
      </c>
      <c r="C1" s="7" t="s">
        <v>2</v>
      </c>
      <c r="D1" s="7" t="s">
        <v>3</v>
      </c>
      <c r="E1" s="7" t="s">
        <v>34</v>
      </c>
      <c r="F1" s="7" t="s">
        <v>33</v>
      </c>
      <c r="G1" s="4" t="s">
        <v>21</v>
      </c>
      <c r="H1" s="6" t="s">
        <v>10</v>
      </c>
      <c r="I1" s="4" t="s">
        <v>11</v>
      </c>
      <c r="J1" s="4" t="s">
        <v>12</v>
      </c>
      <c r="K1" s="4" t="s">
        <v>9</v>
      </c>
      <c r="L1" s="6" t="s">
        <v>13</v>
      </c>
      <c r="M1" s="4" t="s">
        <v>14</v>
      </c>
      <c r="N1" s="4" t="s">
        <v>15</v>
      </c>
      <c r="O1" s="5" t="s">
        <v>16</v>
      </c>
      <c r="P1" s="27" t="s">
        <v>22</v>
      </c>
      <c r="Q1" s="27" t="s">
        <v>17</v>
      </c>
    </row>
    <row r="2" spans="1:17" x14ac:dyDescent="0.3">
      <c r="A2" s="30">
        <v>1</v>
      </c>
      <c r="B2" s="8" t="s">
        <v>4</v>
      </c>
      <c r="C2" s="17">
        <v>0.78100000000000003</v>
      </c>
      <c r="D2" s="25">
        <v>0.80100000000000005</v>
      </c>
      <c r="E2" s="18">
        <v>0.76100000000000001</v>
      </c>
      <c r="F2" s="18">
        <v>0.91400000000000003</v>
      </c>
      <c r="G2" s="24">
        <v>1</v>
      </c>
      <c r="H2" s="6">
        <v>1780476637.7119999</v>
      </c>
      <c r="I2" s="4" t="s">
        <v>18</v>
      </c>
      <c r="J2" s="4" t="s">
        <v>19</v>
      </c>
      <c r="K2" s="4">
        <v>1</v>
      </c>
      <c r="L2" s="6">
        <v>89.39</v>
      </c>
      <c r="M2" s="4">
        <v>154458</v>
      </c>
      <c r="N2" s="4">
        <v>172800</v>
      </c>
      <c r="O2" s="5">
        <v>722.7</v>
      </c>
      <c r="P2" s="27">
        <v>0.42399999999999999</v>
      </c>
      <c r="Q2" s="27">
        <v>0.443</v>
      </c>
    </row>
    <row r="3" spans="1:17" x14ac:dyDescent="0.3">
      <c r="A3" s="31"/>
      <c r="B3" s="9" t="s">
        <v>5</v>
      </c>
      <c r="C3">
        <f>1+1+1</f>
        <v>3</v>
      </c>
      <c r="D3">
        <v>1</v>
      </c>
      <c r="E3" s="12">
        <v>3</v>
      </c>
      <c r="F3" s="12">
        <v>5</v>
      </c>
      <c r="G3" s="24">
        <v>2</v>
      </c>
      <c r="H3" s="6">
        <v>1780478348.4530001</v>
      </c>
      <c r="I3" s="4" t="s">
        <v>18</v>
      </c>
      <c r="J3" s="4" t="s">
        <v>19</v>
      </c>
      <c r="K3" s="4">
        <v>1</v>
      </c>
      <c r="L3" s="6">
        <v>90.22</v>
      </c>
      <c r="M3" s="4">
        <v>155892</v>
      </c>
      <c r="N3" s="4">
        <v>172800</v>
      </c>
      <c r="O3" s="5">
        <v>514.5</v>
      </c>
      <c r="P3" s="27">
        <v>0.40300000000000002</v>
      </c>
      <c r="Q3" s="27">
        <v>0.47</v>
      </c>
    </row>
    <row r="4" spans="1:17" x14ac:dyDescent="0.3">
      <c r="A4" s="31"/>
      <c r="B4" s="9" t="s">
        <v>6</v>
      </c>
      <c r="C4" s="15">
        <v>0.53500000000000003</v>
      </c>
      <c r="D4" s="15">
        <v>0.55500000000000005</v>
      </c>
      <c r="E4" s="20">
        <v>0.45500000000000002</v>
      </c>
      <c r="F4" s="20">
        <v>0.54500000000000004</v>
      </c>
      <c r="G4" s="24">
        <v>3</v>
      </c>
      <c r="H4" s="6">
        <v>1780489544.655</v>
      </c>
      <c r="I4" s="4" t="s">
        <v>18</v>
      </c>
      <c r="J4" s="4" t="s">
        <v>19</v>
      </c>
      <c r="K4" s="4">
        <v>1</v>
      </c>
      <c r="L4" s="6">
        <v>88.3</v>
      </c>
      <c r="M4" s="4">
        <v>152585</v>
      </c>
      <c r="N4" s="4">
        <v>172800</v>
      </c>
      <c r="O4" s="5">
        <v>554.5</v>
      </c>
      <c r="P4" s="27">
        <v>0.34300000000000003</v>
      </c>
      <c r="Q4" s="27">
        <v>0.46300000000000002</v>
      </c>
    </row>
    <row r="5" spans="1:17" x14ac:dyDescent="0.3">
      <c r="A5" s="31"/>
      <c r="B5" s="9" t="s">
        <v>7</v>
      </c>
      <c r="C5">
        <v>41.73</v>
      </c>
      <c r="D5">
        <v>45.26</v>
      </c>
      <c r="E5" s="12">
        <v>35.07</v>
      </c>
      <c r="F5" s="12">
        <v>50.41</v>
      </c>
      <c r="G5" s="24">
        <v>4</v>
      </c>
      <c r="H5" s="6">
        <v>1780638632.1289999</v>
      </c>
      <c r="I5" s="4" t="s">
        <v>18</v>
      </c>
      <c r="J5" s="4" t="s">
        <v>19</v>
      </c>
      <c r="K5" s="4">
        <v>1</v>
      </c>
      <c r="L5" s="6">
        <v>90.03</v>
      </c>
      <c r="M5" s="4">
        <v>155566</v>
      </c>
      <c r="N5" s="4">
        <v>172800</v>
      </c>
      <c r="O5" s="5">
        <v>570.5</v>
      </c>
      <c r="P5" s="27">
        <v>0.439</v>
      </c>
      <c r="Q5" s="27">
        <v>0.499</v>
      </c>
    </row>
    <row r="6" spans="1:17" x14ac:dyDescent="0.3">
      <c r="A6" s="32"/>
      <c r="B6" s="22" t="s">
        <v>8</v>
      </c>
      <c r="C6" s="13">
        <v>505.5</v>
      </c>
      <c r="D6" s="26">
        <v>639.20000000000005</v>
      </c>
      <c r="E6" s="14">
        <v>640.6</v>
      </c>
      <c r="F6" s="14">
        <v>673.4</v>
      </c>
      <c r="G6" s="24">
        <v>5</v>
      </c>
      <c r="H6" s="6">
        <v>1780639418.529</v>
      </c>
      <c r="I6" s="4" t="s">
        <v>18</v>
      </c>
      <c r="J6" s="4" t="s">
        <v>19</v>
      </c>
      <c r="K6" s="4">
        <v>1</v>
      </c>
      <c r="L6" s="6">
        <v>88.23</v>
      </c>
      <c r="M6" s="4">
        <v>152464</v>
      </c>
      <c r="N6" s="4">
        <v>172800</v>
      </c>
      <c r="O6" s="5">
        <v>522.5</v>
      </c>
      <c r="P6" s="27">
        <v>0.46600000000000003</v>
      </c>
      <c r="Q6" s="27">
        <v>0.51300000000000001</v>
      </c>
    </row>
    <row r="7" spans="1:17" x14ac:dyDescent="0.3">
      <c r="A7" s="30">
        <f>A2+1</f>
        <v>2</v>
      </c>
      <c r="B7" s="8" t="s">
        <v>4</v>
      </c>
      <c r="C7" s="17">
        <v>0.877</v>
      </c>
      <c r="D7" s="17">
        <v>0.63100000000000001</v>
      </c>
      <c r="E7" s="18">
        <v>0.82399999999999995</v>
      </c>
      <c r="F7" s="18"/>
      <c r="G7" s="24">
        <v>6</v>
      </c>
      <c r="H7" s="6">
        <v>1780643877.55</v>
      </c>
      <c r="I7" s="4" t="s">
        <v>18</v>
      </c>
      <c r="J7" s="4" t="s">
        <v>20</v>
      </c>
      <c r="K7" s="4">
        <v>1</v>
      </c>
      <c r="L7" s="6">
        <v>89.12</v>
      </c>
      <c r="M7" s="4">
        <v>153992</v>
      </c>
      <c r="N7" s="4">
        <v>172800</v>
      </c>
      <c r="O7" s="5">
        <v>636.6</v>
      </c>
      <c r="P7" s="27">
        <v>0.39500000000000002</v>
      </c>
      <c r="Q7" s="27">
        <v>0.53100000000000003</v>
      </c>
    </row>
    <row r="8" spans="1:17" x14ac:dyDescent="0.3">
      <c r="A8" s="31"/>
      <c r="B8" s="9" t="s">
        <v>5</v>
      </c>
      <c r="C8">
        <f>1+1+1+1</f>
        <v>4</v>
      </c>
      <c r="D8">
        <v>2</v>
      </c>
      <c r="E8" s="12">
        <v>0</v>
      </c>
      <c r="F8" s="12"/>
      <c r="G8" s="24">
        <v>7</v>
      </c>
      <c r="H8" s="6">
        <v>1780644902.7</v>
      </c>
      <c r="I8" s="4" t="s">
        <v>18</v>
      </c>
      <c r="J8" s="4" t="s">
        <v>20</v>
      </c>
      <c r="K8" s="4">
        <v>1</v>
      </c>
      <c r="L8" s="6">
        <v>90.48</v>
      </c>
      <c r="M8" s="4">
        <v>156351</v>
      </c>
      <c r="N8" s="4">
        <v>172800</v>
      </c>
      <c r="O8" s="5">
        <v>600.6</v>
      </c>
      <c r="P8" s="27">
        <v>0.41899999999999998</v>
      </c>
      <c r="Q8" s="27">
        <v>0.54800000000000004</v>
      </c>
    </row>
    <row r="9" spans="1:17" x14ac:dyDescent="0.3">
      <c r="A9" s="31"/>
      <c r="B9" s="9" t="s">
        <v>6</v>
      </c>
      <c r="C9" s="15">
        <v>0.44800000000000001</v>
      </c>
      <c r="D9" s="15">
        <v>0.56899999999999995</v>
      </c>
      <c r="E9" s="20">
        <v>0.41599999999999998</v>
      </c>
      <c r="F9" s="20"/>
      <c r="G9" s="24">
        <v>8</v>
      </c>
      <c r="H9" s="6">
        <v>1780657587.8050001</v>
      </c>
      <c r="I9" s="4" t="s">
        <v>18</v>
      </c>
      <c r="J9" s="4" t="s">
        <v>20</v>
      </c>
      <c r="K9" s="4">
        <v>1</v>
      </c>
      <c r="L9" s="6">
        <v>92.8</v>
      </c>
      <c r="M9" s="4">
        <v>160354</v>
      </c>
      <c r="N9" s="4">
        <v>172800</v>
      </c>
      <c r="O9" s="5">
        <v>558.6</v>
      </c>
      <c r="P9" s="27">
        <v>0.45900000000000002</v>
      </c>
      <c r="Q9" s="27">
        <v>0.42299999999999999</v>
      </c>
    </row>
    <row r="10" spans="1:17" x14ac:dyDescent="0.3">
      <c r="A10" s="31"/>
      <c r="B10" s="9" t="s">
        <v>7</v>
      </c>
      <c r="C10">
        <v>39.46</v>
      </c>
      <c r="D10">
        <v>36.76</v>
      </c>
      <c r="E10" s="12">
        <v>35.42</v>
      </c>
      <c r="F10" s="12"/>
      <c r="G10" s="24">
        <v>9</v>
      </c>
      <c r="H10" s="6">
        <v>1780658903.9449999</v>
      </c>
      <c r="I10" s="4" t="s">
        <v>18</v>
      </c>
      <c r="J10" s="4" t="s">
        <v>20</v>
      </c>
      <c r="K10" s="4">
        <v>1</v>
      </c>
      <c r="L10" s="6">
        <v>93.79</v>
      </c>
      <c r="M10" s="4">
        <v>162061</v>
      </c>
      <c r="N10" s="4">
        <v>172800</v>
      </c>
      <c r="O10" s="5">
        <v>586.6</v>
      </c>
      <c r="P10" s="27">
        <v>0.49199999999999999</v>
      </c>
      <c r="Q10" s="27">
        <v>0.41799999999999998</v>
      </c>
    </row>
    <row r="11" spans="1:17" x14ac:dyDescent="0.3">
      <c r="A11" s="32"/>
      <c r="B11" s="22" t="s">
        <v>8</v>
      </c>
      <c r="C11" s="13">
        <v>519.9</v>
      </c>
      <c r="D11" s="13">
        <v>580.6</v>
      </c>
      <c r="E11" s="14">
        <v>474.5</v>
      </c>
      <c r="F11" s="14"/>
      <c r="G11" s="24">
        <v>10</v>
      </c>
      <c r="H11" s="6">
        <v>1780663467.3629999</v>
      </c>
      <c r="I11" s="4" t="s">
        <v>18</v>
      </c>
      <c r="J11" s="4" t="s">
        <v>20</v>
      </c>
      <c r="K11" s="4">
        <v>1</v>
      </c>
      <c r="L11" s="6">
        <v>89.43</v>
      </c>
      <c r="M11" s="4">
        <v>154538</v>
      </c>
      <c r="N11" s="4">
        <v>172800</v>
      </c>
      <c r="O11" s="5">
        <v>586.5</v>
      </c>
      <c r="P11" s="27">
        <v>0.38700000000000001</v>
      </c>
      <c r="Q11" s="27">
        <v>0.45900000000000002</v>
      </c>
    </row>
    <row r="12" spans="1:17" x14ac:dyDescent="0.3">
      <c r="A12" s="30">
        <f>A7+1</f>
        <v>3</v>
      </c>
      <c r="B12" s="8" t="s">
        <v>4</v>
      </c>
      <c r="C12" s="17">
        <v>0.65400000000000003</v>
      </c>
      <c r="D12" s="17">
        <v>0.89100000000000001</v>
      </c>
      <c r="E12" s="18">
        <v>0.73399999999999999</v>
      </c>
      <c r="F12" s="18"/>
      <c r="G12" s="4">
        <v>11</v>
      </c>
      <c r="H12" s="6">
        <v>1780732208.9449999</v>
      </c>
      <c r="I12" s="4" t="s">
        <v>24</v>
      </c>
      <c r="J12" s="4" t="s">
        <v>20</v>
      </c>
      <c r="K12" s="4">
        <v>1</v>
      </c>
      <c r="L12" s="6">
        <v>95.5</v>
      </c>
      <c r="M12" s="4">
        <v>165028</v>
      </c>
      <c r="N12" s="4">
        <v>172800</v>
      </c>
      <c r="O12" s="5">
        <v>482.4</v>
      </c>
      <c r="P12" s="27">
        <v>0.22900000000000001</v>
      </c>
      <c r="Q12" s="27">
        <v>0.434</v>
      </c>
    </row>
    <row r="13" spans="1:17" x14ac:dyDescent="0.3">
      <c r="A13" s="31"/>
      <c r="B13" s="9" t="s">
        <v>5</v>
      </c>
      <c r="C13">
        <f>1+1+1+1</f>
        <v>4</v>
      </c>
      <c r="D13">
        <v>2</v>
      </c>
      <c r="E13" s="12">
        <v>0</v>
      </c>
      <c r="F13" s="12"/>
      <c r="G13" s="4">
        <v>12</v>
      </c>
      <c r="H13" s="6">
        <v>1780733018.5020001</v>
      </c>
      <c r="I13" s="4" t="s">
        <v>24</v>
      </c>
      <c r="J13" s="4" t="s">
        <v>20</v>
      </c>
      <c r="K13" s="4">
        <v>1</v>
      </c>
      <c r="L13" s="6">
        <v>98.98</v>
      </c>
      <c r="M13" s="4">
        <v>171036</v>
      </c>
      <c r="N13" s="4">
        <v>172800</v>
      </c>
      <c r="O13" s="5">
        <v>510.5</v>
      </c>
      <c r="P13" s="27">
        <v>0.26</v>
      </c>
      <c r="Q13" s="27">
        <v>0.45900000000000002</v>
      </c>
    </row>
    <row r="14" spans="1:17" x14ac:dyDescent="0.3">
      <c r="A14" s="31"/>
      <c r="B14" s="9" t="s">
        <v>6</v>
      </c>
      <c r="C14" s="15">
        <v>0.53700000000000003</v>
      </c>
      <c r="D14" s="15">
        <v>0.46800000000000003</v>
      </c>
      <c r="E14" s="20">
        <v>0.46</v>
      </c>
      <c r="F14" s="20"/>
      <c r="G14" s="4">
        <v>13</v>
      </c>
      <c r="H14" s="6">
        <v>1780733949.013</v>
      </c>
      <c r="I14" s="4" t="s">
        <v>24</v>
      </c>
      <c r="J14" s="4" t="s">
        <v>20</v>
      </c>
      <c r="K14" s="4">
        <v>1</v>
      </c>
      <c r="L14" s="6">
        <v>78.97</v>
      </c>
      <c r="M14" s="4">
        <v>136465</v>
      </c>
      <c r="N14" s="4">
        <v>172800</v>
      </c>
      <c r="O14" s="5">
        <v>508.4</v>
      </c>
      <c r="P14" s="27">
        <v>0.3</v>
      </c>
      <c r="Q14" s="27">
        <v>0.46300000000000002</v>
      </c>
    </row>
    <row r="15" spans="1:17" x14ac:dyDescent="0.3">
      <c r="A15" s="31"/>
      <c r="B15" s="9" t="s">
        <v>7</v>
      </c>
      <c r="C15">
        <v>35.130000000000003</v>
      </c>
      <c r="D15">
        <v>42.1</v>
      </c>
      <c r="E15" s="12">
        <v>34.03</v>
      </c>
      <c r="F15" s="12"/>
      <c r="G15" s="4">
        <v>14</v>
      </c>
      <c r="H15" s="6">
        <v>1780735036.589</v>
      </c>
      <c r="I15" s="4" t="s">
        <v>24</v>
      </c>
      <c r="J15" s="4" t="s">
        <v>20</v>
      </c>
      <c r="K15" s="4">
        <v>1</v>
      </c>
      <c r="L15" s="6">
        <v>99.94</v>
      </c>
      <c r="M15" s="4">
        <v>172695</v>
      </c>
      <c r="N15" s="4">
        <v>172800</v>
      </c>
      <c r="O15" s="5">
        <v>466.4</v>
      </c>
      <c r="P15" s="27">
        <v>0.314</v>
      </c>
      <c r="Q15" s="27">
        <v>0.46200000000000002</v>
      </c>
    </row>
    <row r="16" spans="1:17" x14ac:dyDescent="0.3">
      <c r="A16" s="32"/>
      <c r="B16" s="22" t="s">
        <v>8</v>
      </c>
      <c r="C16" s="13">
        <v>520.20000000000005</v>
      </c>
      <c r="D16" s="26">
        <v>547.29999999999995</v>
      </c>
      <c r="E16" s="14">
        <v>522.20000000000005</v>
      </c>
      <c r="F16" s="35"/>
      <c r="G16" s="4">
        <v>15</v>
      </c>
      <c r="H16" s="6">
        <v>1780743171.9170001</v>
      </c>
      <c r="I16" s="4" t="s">
        <v>24</v>
      </c>
      <c r="J16" s="4" t="s">
        <v>20</v>
      </c>
      <c r="K16" s="4">
        <v>1</v>
      </c>
      <c r="L16" s="6">
        <v>99.81</v>
      </c>
      <c r="M16" s="4">
        <v>172471</v>
      </c>
      <c r="N16" s="4">
        <v>172800</v>
      </c>
      <c r="O16" s="5">
        <v>580.5</v>
      </c>
      <c r="P16" s="27">
        <v>0.26700000000000002</v>
      </c>
      <c r="Q16" s="27">
        <v>0.38300000000000001</v>
      </c>
    </row>
    <row r="17" spans="1:6" x14ac:dyDescent="0.3">
      <c r="A17" s="30">
        <f>A12+1</f>
        <v>4</v>
      </c>
      <c r="B17" s="8" t="s">
        <v>4</v>
      </c>
      <c r="C17" s="17">
        <v>0.83899999999999997</v>
      </c>
      <c r="D17" s="17">
        <v>0.70899999999999996</v>
      </c>
      <c r="E17" s="18">
        <v>0.79</v>
      </c>
      <c r="F17" s="36"/>
    </row>
    <row r="18" spans="1:6" x14ac:dyDescent="0.3">
      <c r="A18" s="31"/>
      <c r="B18" s="9" t="s">
        <v>5</v>
      </c>
      <c r="C18">
        <f>1+1</f>
        <v>2</v>
      </c>
      <c r="D18">
        <v>0</v>
      </c>
      <c r="E18" s="12">
        <v>0</v>
      </c>
      <c r="F18" s="35"/>
    </row>
    <row r="19" spans="1:6" x14ac:dyDescent="0.3">
      <c r="A19" s="31"/>
      <c r="B19" s="9" t="s">
        <v>6</v>
      </c>
      <c r="C19" s="15">
        <v>0.41299999999999998</v>
      </c>
      <c r="D19" s="15">
        <v>0.627</v>
      </c>
      <c r="E19" s="20">
        <v>0.46100000000000002</v>
      </c>
      <c r="F19" s="36"/>
    </row>
    <row r="20" spans="1:6" x14ac:dyDescent="0.3">
      <c r="A20" s="31"/>
      <c r="B20" s="9" t="s">
        <v>7</v>
      </c>
      <c r="C20" s="16">
        <v>35.5</v>
      </c>
      <c r="D20">
        <v>41.13</v>
      </c>
      <c r="E20" s="12">
        <v>36.86</v>
      </c>
      <c r="F20" s="35"/>
    </row>
    <row r="21" spans="1:6" x14ac:dyDescent="0.3">
      <c r="A21" s="32"/>
      <c r="B21" s="22" t="s">
        <v>8</v>
      </c>
      <c r="C21" s="13">
        <v>469.7</v>
      </c>
      <c r="D21" s="13">
        <v>586.20000000000005</v>
      </c>
      <c r="E21" s="23">
        <v>603.79999999999995</v>
      </c>
      <c r="F21" s="37"/>
    </row>
    <row r="22" spans="1:6" x14ac:dyDescent="0.3">
      <c r="A22" s="30">
        <f>A17+1</f>
        <v>5</v>
      </c>
      <c r="B22" s="9" t="s">
        <v>4</v>
      </c>
      <c r="C22" s="15">
        <v>0.89300000000000002</v>
      </c>
      <c r="D22" s="15">
        <v>0.73099999999999998</v>
      </c>
      <c r="E22" s="20">
        <v>0.80200000000000005</v>
      </c>
      <c r="F22" s="36"/>
    </row>
    <row r="23" spans="1:6" x14ac:dyDescent="0.3">
      <c r="A23" s="31"/>
      <c r="B23" s="9" t="s">
        <v>5</v>
      </c>
      <c r="C23">
        <f>1+1+1+1+1</f>
        <v>5</v>
      </c>
      <c r="D23">
        <f>1</f>
        <v>1</v>
      </c>
      <c r="E23" s="19">
        <v>2</v>
      </c>
      <c r="F23" s="38"/>
    </row>
    <row r="24" spans="1:6" x14ac:dyDescent="0.3">
      <c r="A24" s="31"/>
      <c r="B24" s="9" t="s">
        <v>6</v>
      </c>
      <c r="C24" s="15">
        <v>0.47499999999999998</v>
      </c>
      <c r="D24" s="15">
        <v>0.53400000000000003</v>
      </c>
      <c r="E24" s="20">
        <v>0.45600000000000002</v>
      </c>
      <c r="F24" s="36"/>
    </row>
    <row r="25" spans="1:6" x14ac:dyDescent="0.3">
      <c r="A25" s="31"/>
      <c r="B25" s="9" t="s">
        <v>7</v>
      </c>
      <c r="C25">
        <v>42.63</v>
      </c>
      <c r="D25" s="16">
        <v>39.299999999999997</v>
      </c>
      <c r="E25" s="21">
        <v>37</v>
      </c>
      <c r="F25" s="39"/>
    </row>
    <row r="26" spans="1:6" x14ac:dyDescent="0.3">
      <c r="A26" s="32"/>
      <c r="B26" s="22" t="s">
        <v>8</v>
      </c>
      <c r="C26" s="13">
        <v>580.79999999999995</v>
      </c>
      <c r="D26" s="13">
        <v>590.6</v>
      </c>
      <c r="E26" s="23">
        <v>555.6</v>
      </c>
      <c r="F26" s="37"/>
    </row>
    <row r="27" spans="1:6" x14ac:dyDescent="0.3">
      <c r="A27" s="44" t="s">
        <v>23</v>
      </c>
      <c r="B27" s="9" t="s">
        <v>4</v>
      </c>
      <c r="C27" s="1" t="str">
        <f>TEXT(AVERAGE(C2,C7,C12,C17,C22),"0.0" &amp; "%") &amp; " ± " &amp; TEXT(_xlfn.STDEV.S(C2,C7,C12,C17,C22),"0.0" &amp; "%")</f>
        <v>80.9% ± 9.7%</v>
      </c>
      <c r="D27" s="1" t="str">
        <f>TEXT(AVERAGE(D2,D7,D12,D17,D22),"0.0" &amp; "%") &amp; " ± " &amp; TEXT(_xlfn.STDEV.S(D2,D7,D12,D17,D22),"0.0" &amp; "%")</f>
        <v>75.3% ± 9.8%</v>
      </c>
      <c r="E27" s="10" t="str">
        <f>TEXT(AVERAGE(E2,E7,E12,E17,E22),"0.0" &amp; "%") &amp; " ± " &amp; TEXT(_xlfn.STDEV.S(E2,E7,E12,E17,E22),"0.0" &amp; "%")</f>
        <v>78.2% ± 3.5%</v>
      </c>
      <c r="F27" s="40"/>
    </row>
    <row r="28" spans="1:6" x14ac:dyDescent="0.3">
      <c r="A28" s="45"/>
      <c r="B28" s="9" t="s">
        <v>5</v>
      </c>
      <c r="C28" s="1" t="str">
        <f>TEXT(AVERAGE(C3,C8,C13,C18,C23),"0.0" ) &amp; " ± " &amp; TEXT(_xlfn.STDEV.S(C3,C8,C13,C18,C23),"0.0")</f>
        <v>3.6 ± 1.1</v>
      </c>
      <c r="D28" s="1" t="str">
        <f>TEXT(AVERAGE(D3,D8,D13,D18,D23),"0.0" ) &amp; " ± " &amp; TEXT(_xlfn.STDEV.S(D3,D8,D13,D18,D23),"0.0")</f>
        <v>1.2 ± 0.8</v>
      </c>
      <c r="E28" s="10" t="str">
        <f>TEXT(AVERAGE(E3,E8,E13,E18,E23),"0.0" ) &amp; " ± " &amp; TEXT(_xlfn.STDEV.S(E3,E8,E13,E18,E23),"0.0")</f>
        <v>1.0 ± 1.4</v>
      </c>
      <c r="F28" s="40"/>
    </row>
    <row r="29" spans="1:6" x14ac:dyDescent="0.3">
      <c r="A29" s="45"/>
      <c r="B29" s="9" t="s">
        <v>6</v>
      </c>
      <c r="C29" s="1" t="str">
        <f>TEXT(AVERAGE(C4,C9,C14,C19,C24),"0.0" &amp; "%") &amp; " ± " &amp; TEXT(_xlfn.STDEV.S(C4,C9,C14,C19,C24),"0.0" &amp; "%")</f>
        <v>48.2% ± 5.4%</v>
      </c>
      <c r="D29" s="1" t="str">
        <f>TEXT(AVERAGE(D4,D9,D14,D19,D24),"0.0" &amp; "%") &amp; " ± " &amp; TEXT(_xlfn.STDEV.S(D4,D9,D14,D19,D24),"0.0" &amp; "%")</f>
        <v>55.1% ± 5.8%</v>
      </c>
      <c r="E29" s="10" t="str">
        <f>TEXT(AVERAGE(E4,E9,E14,E19,E24),"0.0" &amp; "%") &amp; " ± " &amp; TEXT(_xlfn.STDEV.S(E4,E9,E14,E19,E24),"0.0" &amp; "%")</f>
        <v>45.0% ± 1.9%</v>
      </c>
      <c r="F29" s="40"/>
    </row>
    <row r="30" spans="1:6" x14ac:dyDescent="0.3">
      <c r="A30" s="45"/>
      <c r="B30" s="9" t="s">
        <v>7</v>
      </c>
      <c r="C30" s="1" t="str">
        <f>TEXT(AVERAGE(C5,C10,C15,C20,C25),"0.00" ) &amp; " ± " &amp; TEXT(_xlfn.STDEV.S(C5,C10,C15,C20,C25),"0.00")</f>
        <v>38.89 ± 3.46</v>
      </c>
      <c r="D30" s="1" t="str">
        <f>TEXT(AVERAGE(D5,D10,D15,D20,D25),"0.00" ) &amp; " ± " &amp; TEXT(_xlfn.STDEV.S(D5,D10,D15,D20,D25),"0.00")</f>
        <v>40.91 ± 3.17</v>
      </c>
      <c r="E30" s="10" t="str">
        <f>TEXT(AVERAGE(E5,E10,E15,E20,E25),"0.00" ) &amp; " ± " &amp; TEXT(_xlfn.STDEV.S(E5,E10,E15,E20,E25),"0.00")</f>
        <v>35.68 ± 1.25</v>
      </c>
      <c r="F30" s="40"/>
    </row>
    <row r="31" spans="1:6" x14ac:dyDescent="0.3">
      <c r="A31" s="45"/>
      <c r="B31" s="9" t="s">
        <v>8</v>
      </c>
      <c r="C31" s="1" t="str">
        <f>TEXT(AVERAGE(C6,C11,C16,C21,C26),"0.0" ) &amp; " ± " &amp; TEXT(_xlfn.STDEV.S(C6,C11,C16,C21,C26),"0.0")</f>
        <v>519.2 ± 40.1</v>
      </c>
      <c r="D31" s="1" t="str">
        <f>TEXT(AVERAGE(D6,D11,D16,D21,D26),"0.0" ) &amp; " ± " &amp; TEXT(_xlfn.STDEV.S(D6,D11,D16,D21,D26),"0.0")</f>
        <v>588.8 ± 32.9</v>
      </c>
      <c r="E31" s="10" t="str">
        <f>TEXT(AVERAGE(E6,E11,E16,E21,E26),"0.0" ) &amp; " ± " &amp; TEXT(_xlfn.STDEV.S(E6,E11,E16,E21,E26),"0.0")</f>
        <v>559.3 ± 65.5</v>
      </c>
      <c r="F31" s="40"/>
    </row>
    <row r="32" spans="1:6" x14ac:dyDescent="0.3">
      <c r="A32" s="45"/>
      <c r="B32" s="11" t="s">
        <v>22</v>
      </c>
      <c r="C32" t="str">
        <f>TEXT(AVERAGE(P12:P16),"0.00%" ) &amp; " ± " &amp; TEXT(_xlfn.STDEV.S(P12:P16),"0.00%" )</f>
        <v>27.40% ± 3.37%</v>
      </c>
      <c r="D32" t="str">
        <f>TEXT(AVERAGE(P7:P11),"0.00%" ) &amp; " ± " &amp; TEXT(_xlfn.STDEV.S(P7:P11),"0.00%" )</f>
        <v>43.04% ± 4.44%</v>
      </c>
      <c r="E32" s="12" t="str">
        <f>TEXT(AVERAGE(P2:P6),"0.00%" ) &amp; " ± " &amp; TEXT(_xlfn.STDEV.S(P2:P6),"0.00%" )</f>
        <v>41.50% ± 4.63%</v>
      </c>
      <c r="F32" s="35"/>
    </row>
    <row r="33" spans="1:6" x14ac:dyDescent="0.3">
      <c r="A33" s="45"/>
      <c r="B33" s="41" t="s">
        <v>17</v>
      </c>
      <c r="C33" s="35" t="str">
        <f>TEXT(AVERAGE(Q12:Q16),"0.00%" ) &amp; " ± " &amp; TEXT(_xlfn.STDEV.S(Q12:Q16),"0.00%" )</f>
        <v>44.02% ± 3.41%</v>
      </c>
      <c r="D33" s="35" t="str">
        <f>TEXT(AVERAGE(Q7:Q11),"0.00%" ) &amp; " ± " &amp; TEXT(_xlfn.STDEV.S(Q7:Q11),"0.00%" )</f>
        <v>47.58% ± 6.06%</v>
      </c>
      <c r="E33" s="12" t="str">
        <f>TEXT(AVERAGE(Q2:Q6),"0.00%" ) &amp; " ± " &amp; TEXT(_xlfn.STDEV.S(Q2:Q6),"0.00%" )</f>
        <v>47.76% ± 2.82%</v>
      </c>
      <c r="F33" s="35"/>
    </row>
    <row r="34" spans="1:6" x14ac:dyDescent="0.3">
      <c r="A34" s="46"/>
      <c r="B34" s="42" t="s">
        <v>35</v>
      </c>
      <c r="C34" s="43">
        <v>0.3</v>
      </c>
      <c r="D34" s="43">
        <v>0.5</v>
      </c>
      <c r="E34" s="43">
        <v>0.5</v>
      </c>
    </row>
  </sheetData>
  <mergeCells count="6">
    <mergeCell ref="A2:A6"/>
    <mergeCell ref="A7:A11"/>
    <mergeCell ref="A12:A16"/>
    <mergeCell ref="A17:A21"/>
    <mergeCell ref="A22:A26"/>
    <mergeCell ref="A27:A34"/>
  </mergeCells>
  <phoneticPr fontId="18" type="noConversion"/>
  <pageMargins left="0.7" right="0.7" top="0.75" bottom="0.75" header="0.3" footer="0.3"/>
  <ignoredErrors>
    <ignoredError sqref="C28:E28" formula="1"/>
    <ignoredError sqref="D32:E33 C32:C3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C6CB6-E027-4159-971C-1D9F8A2106CA}">
  <dimension ref="A1:E7"/>
  <sheetViews>
    <sheetView workbookViewId="0">
      <selection activeCell="C10" sqref="C10"/>
    </sheetView>
  </sheetViews>
  <sheetFormatPr defaultRowHeight="14" x14ac:dyDescent="0.3"/>
  <cols>
    <col min="2" max="2" width="10.4140625" bestFit="1" customWidth="1"/>
    <col min="3" max="3" width="13.75" bestFit="1" customWidth="1"/>
    <col min="4" max="4" width="12.4140625" bestFit="1" customWidth="1"/>
    <col min="5" max="5" width="12.58203125" bestFit="1" customWidth="1"/>
  </cols>
  <sheetData>
    <row r="1" spans="1:5" x14ac:dyDescent="0.3">
      <c r="A1" s="28"/>
      <c r="B1" s="33" t="s">
        <v>32</v>
      </c>
      <c r="C1" s="33"/>
      <c r="D1" s="33"/>
      <c r="E1" s="33"/>
    </row>
    <row r="2" spans="1:5" x14ac:dyDescent="0.3">
      <c r="A2" s="28" t="s">
        <v>31</v>
      </c>
      <c r="B2" s="28" t="s">
        <v>1</v>
      </c>
      <c r="C2" s="28" t="s">
        <v>30</v>
      </c>
      <c r="D2" s="28" t="s">
        <v>3</v>
      </c>
      <c r="E2" s="28" t="s">
        <v>29</v>
      </c>
    </row>
    <row r="3" spans="1:5" x14ac:dyDescent="0.3">
      <c r="A3" s="34">
        <v>1</v>
      </c>
      <c r="B3" s="28" t="s">
        <v>4</v>
      </c>
      <c r="C3" s="29">
        <v>0.66049999999999998</v>
      </c>
      <c r="D3" s="29">
        <v>0.76019999999999999</v>
      </c>
      <c r="E3" s="29">
        <v>0.86699999999999999</v>
      </c>
    </row>
    <row r="4" spans="1:5" x14ac:dyDescent="0.3">
      <c r="A4" s="34"/>
      <c r="B4" s="28" t="s">
        <v>28</v>
      </c>
      <c r="C4" s="28">
        <f>1+1+1+1+1+1+1+1</f>
        <v>8</v>
      </c>
      <c r="D4" s="28">
        <f>1+1</f>
        <v>2</v>
      </c>
      <c r="E4" s="28">
        <v>0</v>
      </c>
    </row>
    <row r="5" spans="1:5" x14ac:dyDescent="0.3">
      <c r="A5" s="34"/>
      <c r="B5" s="28" t="s">
        <v>27</v>
      </c>
      <c r="C5" s="29">
        <v>0.48149999999999998</v>
      </c>
      <c r="D5" s="29">
        <v>0.36699999999999999</v>
      </c>
      <c r="E5" s="29">
        <v>0.151</v>
      </c>
    </row>
    <row r="6" spans="1:5" x14ac:dyDescent="0.3">
      <c r="A6" s="34"/>
      <c r="B6" s="28" t="s">
        <v>26</v>
      </c>
      <c r="C6" s="28">
        <v>31.86</v>
      </c>
      <c r="D6" s="28">
        <v>29.01</v>
      </c>
      <c r="E6" s="28">
        <v>18.190000000000001</v>
      </c>
    </row>
    <row r="7" spans="1:5" x14ac:dyDescent="0.3">
      <c r="A7" s="34"/>
      <c r="B7" s="28" t="s">
        <v>25</v>
      </c>
      <c r="C7" s="28">
        <f>928-67-3</f>
        <v>858</v>
      </c>
      <c r="D7" s="28">
        <v>606.9</v>
      </c>
      <c r="E7" s="28">
        <f>575.3- 25-26</f>
        <v>524.29999999999995</v>
      </c>
    </row>
  </sheetData>
  <mergeCells count="2">
    <mergeCell ref="B1:E1"/>
    <mergeCell ref="A3:A7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覆盖率实验</vt:lpstr>
      <vt:lpstr>旧版的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zhouhuimin</dc:creator>
  <cp:lastModifiedBy>惠民 周</cp:lastModifiedBy>
  <dcterms:created xsi:type="dcterms:W3CDTF">2026-06-05T06:16:38Z</dcterms:created>
  <dcterms:modified xsi:type="dcterms:W3CDTF">2026-06-06T14:41:34Z</dcterms:modified>
</cp:coreProperties>
</file>